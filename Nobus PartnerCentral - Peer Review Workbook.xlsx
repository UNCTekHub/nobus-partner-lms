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 Scorecard" sheetId="2" state="visible" r:id="rId2"/>
    <sheet xmlns:r="http://schemas.openxmlformats.org/officeDocument/2006/relationships" name="Findings &amp; Adjustments" sheetId="3" state="visible" r:id="rId3"/>
    <sheet xmlns:r="http://schemas.openxmlformats.org/officeDocument/2006/relationships" name="Sign-off" sheetId="4" state="visible"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13245C"/>
      <sz val="20"/>
    </font>
    <font>
      <name val="Arial"/>
      <i val="1"/>
      <color rgb="001D54E8"/>
      <sz val="11"/>
    </font>
    <font>
      <name val="Arial"/>
      <b val="1"/>
      <color rgb="00FFFFFF"/>
      <sz val="12"/>
    </font>
    <font>
      <name val="Arial"/>
      <b val="1"/>
      <color rgb="0013245C"/>
      <sz val="10"/>
    </font>
    <font>
      <name val="Arial"/>
      <color rgb="001C2333"/>
      <sz val="10"/>
    </font>
    <font>
      <name val="Arial"/>
      <b val="1"/>
      <color rgb="0013245C"/>
      <sz val="18"/>
    </font>
    <font>
      <name val="Arial"/>
      <i val="1"/>
      <color rgb="005A6577"/>
      <sz val="10"/>
    </font>
    <font>
      <name val="Arial"/>
      <b val="1"/>
      <color rgb="00FFFFFF"/>
      <sz val="10"/>
    </font>
    <font>
      <name val="Arial"/>
      <b val="1"/>
      <color rgb="0013245C"/>
      <sz val="11"/>
    </font>
    <font>
      <name val="Arial"/>
      <b val="1"/>
      <color rgb="005A6577"/>
      <sz val="9"/>
    </font>
    <font>
      <name val="Arial"/>
      <b val="1"/>
      <color rgb="001C2333"/>
      <sz val="10"/>
    </font>
    <font>
      <name val="Arial"/>
      <color rgb="005A6577"/>
      <sz val="9"/>
    </font>
    <font>
      <name val="Arial"/>
      <b val="1"/>
      <color rgb="001C2333"/>
      <sz val="11"/>
    </font>
    <font>
      <name val="Arial"/>
      <color rgb="005A6577"/>
      <sz val="10"/>
    </font>
    <font>
      <name val="Arial"/>
      <color rgb="001C2333"/>
      <sz val="9"/>
    </font>
    <font>
      <name val="Arial"/>
      <b val="1"/>
      <color rgb="001D54E8"/>
      <sz val="11"/>
    </font>
    <font>
      <name val="Arial"/>
      <b val="1"/>
      <color rgb="00FFFFFF"/>
      <sz val="11"/>
    </font>
    <font>
      <name val="Arial"/>
      <b val="1"/>
      <color rgb="0013245C"/>
      <sz val="14"/>
    </font>
    <font>
      <name val="Arial"/>
      <i val="1"/>
      <color rgb="005A6577"/>
      <sz val="9"/>
    </font>
  </fonts>
  <fills count="7">
    <fill>
      <patternFill/>
    </fill>
    <fill>
      <patternFill patternType="gray125"/>
    </fill>
    <fill>
      <patternFill patternType="solid">
        <fgColor rgb="0013245C"/>
      </patternFill>
    </fill>
    <fill>
      <patternFill patternType="solid">
        <fgColor rgb="00FFF6CC"/>
      </patternFill>
    </fill>
    <fill>
      <patternFill patternType="solid">
        <fgColor rgb="00EEF4FF"/>
      </patternFill>
    </fill>
    <fill>
      <patternFill patternType="solid">
        <fgColor rgb="001D54E8"/>
      </patternFill>
    </fill>
    <fill>
      <patternFill patternType="solid">
        <fgColor rgb="00DCE8FF"/>
      </patternFill>
    </fill>
  </fills>
  <borders count="2">
    <border>
      <left/>
      <right/>
      <top/>
      <bottom/>
      <diagonal/>
    </border>
    <border>
      <left style="thin">
        <color rgb="00D9E2F2"/>
      </left>
      <right style="thin">
        <color rgb="00D9E2F2"/>
      </right>
      <top style="thin">
        <color rgb="00D9E2F2"/>
      </top>
      <bottom style="thin">
        <color rgb="00D9E2F2"/>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0" fillId="3" borderId="1" pivotButton="0" quotePrefix="0" xfId="0"/>
    <xf numFmtId="0" fontId="0" fillId="4" borderId="1" pivotButton="0" quotePrefix="0" xfId="0"/>
    <xf numFmtId="0" fontId="6" fillId="0" borderId="0" pivotButton="0" quotePrefix="0" xfId="0"/>
    <xf numFmtId="0" fontId="7" fillId="0" borderId="0" pivotButton="0" quotePrefix="0" xfId="0"/>
    <xf numFmtId="0" fontId="8" fillId="5"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left" vertical="top" wrapText="1"/>
    </xf>
    <xf numFmtId="0" fontId="12" fillId="0" borderId="1" applyAlignment="1" pivotButton="0" quotePrefix="0" xfId="0">
      <alignment horizontal="left" vertical="top" wrapText="1"/>
    </xf>
    <xf numFmtId="0" fontId="5" fillId="0" borderId="1" applyAlignment="1" pivotButton="0" quotePrefix="0" xfId="0">
      <alignment horizontal="center" vertical="center" wrapText="1"/>
    </xf>
    <xf numFmtId="0" fontId="13" fillId="3" borderId="1" applyAlignment="1" pivotButton="0" quotePrefix="0" xfId="0">
      <alignment horizontal="center" vertical="center" wrapText="1"/>
    </xf>
    <xf numFmtId="0" fontId="14" fillId="0" borderId="1" applyAlignment="1" pivotButton="0" quotePrefix="0" xfId="0">
      <alignment horizontal="center" vertical="center" wrapText="1"/>
    </xf>
    <xf numFmtId="0" fontId="15" fillId="3" borderId="1" applyAlignment="1" pivotButton="0" quotePrefix="0" xfId="0">
      <alignment horizontal="left" vertical="top" wrapText="1"/>
    </xf>
    <xf numFmtId="0" fontId="15" fillId="3" borderId="1" applyAlignment="1" pivotButton="0" quotePrefix="0" xfId="0">
      <alignment horizontal="center" vertical="center" wrapText="1"/>
    </xf>
    <xf numFmtId="0" fontId="4" fillId="4" borderId="1" applyAlignment="1" pivotButton="0" quotePrefix="0" xfId="0">
      <alignment horizontal="right" vertical="center" wrapText="1"/>
    </xf>
    <xf numFmtId="2" fontId="16" fillId="4" borderId="1" applyAlignment="1" pivotButton="0" quotePrefix="0" xfId="0">
      <alignment horizontal="center" vertical="center" wrapText="1"/>
    </xf>
    <xf numFmtId="0" fontId="17" fillId="2" borderId="1" applyAlignment="1" pivotButton="0" quotePrefix="0" xfId="0">
      <alignment horizontal="right" vertical="center" wrapText="1"/>
    </xf>
    <xf numFmtId="0" fontId="0" fillId="0" borderId="1" pivotButton="0" quotePrefix="0" xfId="0"/>
    <xf numFmtId="2" fontId="18" fillId="6" borderId="1" applyAlignment="1" pivotButton="0" quotePrefix="0" xfId="0">
      <alignment horizontal="center" vertical="center" wrapText="1"/>
    </xf>
    <xf numFmtId="0" fontId="4" fillId="6" borderId="1" applyAlignment="1" pivotButton="0" quotePrefix="0" xfId="0">
      <alignment horizontal="right" vertical="center" wrapText="1"/>
    </xf>
    <xf numFmtId="0" fontId="11" fillId="6" borderId="1" applyAlignment="1" pivotButton="0" quotePrefix="0" xfId="0">
      <alignment horizontal="center" vertical="center" wrapText="1"/>
    </xf>
    <xf numFmtId="0" fontId="0" fillId="6" borderId="1" pivotButton="0" quotePrefix="0" xfId="0"/>
    <xf numFmtId="0" fontId="17" fillId="5" borderId="1" applyAlignment="1" pivotButton="0" quotePrefix="0" xfId="0">
      <alignment horizontal="right" vertical="center" wrapText="1"/>
    </xf>
    <xf numFmtId="0" fontId="9" fillId="4" borderId="1"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 applyAlignment="1" pivotButton="0" quotePrefix="0" xfId="0">
      <alignment horizontal="left" vertical="top" wrapText="1"/>
    </xf>
    <xf numFmtId="0" fontId="5" fillId="3" borderId="1" applyAlignment="1" pivotButton="0" quotePrefix="0" xfId="0">
      <alignment horizontal="left" vertical="top" wrapText="1"/>
    </xf>
    <xf numFmtId="0" fontId="3" fillId="2"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3"/>
  <sheetViews>
    <sheetView showGridLines="0" workbookViewId="0">
      <selection activeCell="A1" sqref="A1"/>
    </sheetView>
  </sheetViews>
  <sheetFormatPr baseColWidth="8" defaultRowHeight="15"/>
  <cols>
    <col width="3" customWidth="1" min="1" max="1"/>
    <col width="30" customWidth="1" min="2" max="2"/>
    <col width="88" customWidth="1" min="3" max="3"/>
  </cols>
  <sheetData>
    <row r="2" ht="28" customHeight="1">
      <c r="B2" s="1" t="inlineStr">
        <is>
          <t>Nobus PartnerCentral — Peer Review Workbook</t>
        </is>
      </c>
    </row>
    <row r="3">
      <c r="B3" s="2" t="inlineStr">
        <is>
          <t>Structured scoring, comments, and adjustment tracking for the platform review</t>
        </is>
      </c>
    </row>
    <row r="5" ht="22" customHeight="1">
      <c r="B5" s="3" t="inlineStr">
        <is>
          <t>How to use this workbook</t>
        </is>
      </c>
    </row>
    <row r="6" ht="42" customHeight="1">
      <c r="B6" s="4" t="inlineStr">
        <is>
          <t>1. Review Scorecard</t>
        </is>
      </c>
      <c r="C6" s="5" t="inlineStr">
        <is>
          <t>Work through each criterion. Enter a Score (1-5), a Status, and your Comments in the highlighted cells. Category and overall scores calculate automatically.</t>
        </is>
      </c>
    </row>
    <row r="7" ht="42" customHeight="1">
      <c r="B7" s="4" t="inlineStr">
        <is>
          <t>2. Findings &amp; Adjustments</t>
        </is>
      </c>
      <c r="C7" s="5" t="inlineStr">
        <is>
          <t>Log every issue, gap, or change request as its own row. Assign a severity, owner, and target date, and update Status as work progresses to close-out.</t>
        </is>
      </c>
    </row>
    <row r="8" ht="42" customHeight="1">
      <c r="B8" s="4" t="inlineStr">
        <is>
          <t>3. Sign-off</t>
        </is>
      </c>
      <c r="C8" s="5" t="inlineStr">
        <is>
          <t>Each reviewer records their recommendation and signs off once their areas are complete.</t>
        </is>
      </c>
    </row>
    <row r="10" ht="22" customHeight="1">
      <c r="B10" s="3" t="inlineStr">
        <is>
          <t>Scoring scale (1-5)</t>
        </is>
      </c>
    </row>
    <row r="11" ht="24" customHeight="1">
      <c r="B11" s="4" t="inlineStr">
        <is>
          <t>5 — Excellent</t>
        </is>
      </c>
      <c r="C11" s="5" t="inlineStr">
        <is>
          <t>Best-practice; no concerns. A model others should follow.</t>
        </is>
      </c>
    </row>
    <row r="12" ht="24" customHeight="1">
      <c r="B12" s="4" t="inlineStr">
        <is>
          <t>4 — Good</t>
        </is>
      </c>
      <c r="C12" s="5" t="inlineStr">
        <is>
          <t>Solid and reliable; only minor, optional improvements.</t>
        </is>
      </c>
    </row>
    <row r="13" ht="24" customHeight="1">
      <c r="B13" s="4" t="inlineStr">
        <is>
          <t>3 — Adequate</t>
        </is>
      </c>
      <c r="C13" s="5" t="inlineStr">
        <is>
          <t>Meets the baseline; some improvements advisable.</t>
        </is>
      </c>
    </row>
    <row r="14" ht="24" customHeight="1">
      <c r="B14" s="4" t="inlineStr">
        <is>
          <t>2 — Major concerns</t>
        </is>
      </c>
      <c r="C14" s="5" t="inlineStr">
        <is>
          <t>Works but has significant weaknesses to address before release.</t>
        </is>
      </c>
    </row>
    <row r="15" ht="24" customHeight="1">
      <c r="B15" s="4" t="inlineStr">
        <is>
          <t>1 — Critical gap</t>
        </is>
      </c>
      <c r="C15" s="5" t="inlineStr">
        <is>
          <t>Broken, missing, or unsafe. Must be fixed.</t>
        </is>
      </c>
    </row>
    <row r="16" ht="24" customHeight="1">
      <c r="B16" s="4" t="inlineStr">
        <is>
          <t>(blank) — Not yet reviewed</t>
        </is>
      </c>
      <c r="C16" s="5" t="inlineStr">
        <is>
          <t>Left empty; excluded from the calculated averages until scored.</t>
        </is>
      </c>
    </row>
    <row r="18" ht="22" customHeight="1">
      <c r="B18" s="3" t="inlineStr">
        <is>
          <t>Legend — which cells to edit</t>
        </is>
      </c>
    </row>
    <row r="19">
      <c r="B19" s="6" t="inlineStr">
        <is>
          <t xml:space="preserve">  </t>
        </is>
      </c>
      <c r="C19" s="5" t="inlineStr">
        <is>
          <t>Yellow cells are your inputs — Score, Status, Comments, and everything on the Findings &amp; Sign-off tabs.</t>
        </is>
      </c>
    </row>
    <row r="20">
      <c r="B20" s="7" t="inlineStr">
        <is>
          <t xml:space="preserve">  </t>
        </is>
      </c>
      <c r="C20" s="5" t="inlineStr">
        <is>
          <t>Light-blue and white cells are calculated or reference content — please do not overwrite them.</t>
        </is>
      </c>
    </row>
    <row r="22">
      <c r="B22" s="4" t="inlineStr">
        <is>
          <t>Prepared for</t>
        </is>
      </c>
      <c r="C22" s="5" t="inlineStr">
        <is>
          <t>Architecture &amp; platform peer review · Nobus PartnerCentral v2.0</t>
        </is>
      </c>
    </row>
    <row r="23">
      <c r="B23" s="4" t="inlineStr">
        <is>
          <t>Scope reference</t>
        </is>
      </c>
      <c r="C23" s="5" t="inlineStr">
        <is>
          <t>See the companion deck: 'Nobus PartnerCentral — Architecture &amp; Features'</t>
        </is>
      </c>
    </row>
  </sheetData>
  <mergeCells count="5">
    <mergeCell ref="B2:C2"/>
    <mergeCell ref="B3:C3"/>
    <mergeCell ref="B5:C5"/>
    <mergeCell ref="B10:C10"/>
    <mergeCell ref="B18:C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2"/>
  <sheetViews>
    <sheetView showGridLines="0" workbookViewId="0">
      <pane ySplit="4" topLeftCell="A5" activePane="bottomLeft" state="frozen"/>
      <selection pane="bottomLeft" activeCell="A1" sqref="A1"/>
    </sheetView>
  </sheetViews>
  <sheetFormatPr baseColWidth="8" defaultRowHeight="15"/>
  <cols>
    <col width="6" customWidth="1" min="1" max="1"/>
    <col width="40" customWidth="1" min="2" max="2"/>
    <col width="52" customWidth="1" min="3" max="3"/>
    <col width="8" customWidth="1" min="4" max="4"/>
    <col width="8" customWidth="1" min="5" max="5"/>
    <col width="11" customWidth="1" min="6" max="6"/>
    <col width="46" customWidth="1" min="7" max="7"/>
    <col width="15" customWidth="1" min="8" max="8"/>
  </cols>
  <sheetData>
    <row r="1" ht="26" customHeight="1">
      <c r="A1" s="8" t="inlineStr">
        <is>
          <t>Review Scorecard</t>
        </is>
      </c>
    </row>
    <row r="2">
      <c r="A2" s="9" t="inlineStr">
        <is>
          <t>Enter Score (1-5), Status, and Comments in the yellow cells. Scores roll up automatically.</t>
        </is>
      </c>
    </row>
    <row r="4" ht="20" customHeight="1">
      <c r="A4" s="10" t="inlineStr">
        <is>
          <t>Ref</t>
        </is>
      </c>
      <c r="B4" s="10" t="inlineStr">
        <is>
          <t>Review Criterion</t>
        </is>
      </c>
      <c r="C4" s="10" t="inlineStr">
        <is>
          <t>What 'good' looks like</t>
        </is>
      </c>
      <c r="D4" s="10" t="inlineStr">
        <is>
          <t>Wt</t>
        </is>
      </c>
      <c r="E4" s="10" t="inlineStr">
        <is>
          <t>Score</t>
        </is>
      </c>
      <c r="F4" s="10" t="inlineStr">
        <is>
          <t>Weighted</t>
        </is>
      </c>
      <c r="G4" s="10" t="inlineStr">
        <is>
          <t>Reviewer Comments</t>
        </is>
      </c>
      <c r="H4" s="10" t="inlineStr">
        <is>
          <t>Status</t>
        </is>
      </c>
    </row>
    <row r="5" ht="20" customHeight="1">
      <c r="A5" s="11" t="inlineStr">
        <is>
          <t>A. Architecture &amp; Design</t>
        </is>
      </c>
    </row>
    <row r="6" ht="30" customHeight="1">
      <c r="A6" s="12" t="inlineStr">
        <is>
          <t>A1</t>
        </is>
      </c>
      <c r="B6" s="13" t="inlineStr">
        <is>
          <t>Separation of concerns across tiers</t>
        </is>
      </c>
      <c r="C6" s="14" t="inlineStr">
        <is>
          <t>SPA, API, and data layers have clear boundaries; no business logic leaks into the client.</t>
        </is>
      </c>
      <c r="D6" s="15" t="n">
        <v>4</v>
      </c>
      <c r="E6" s="16" t="n"/>
      <c r="F6" s="17">
        <f>IF(E6="","",D6*E6)</f>
        <v/>
      </c>
      <c r="G6" s="18" t="n"/>
      <c r="H6" s="19" t="n"/>
    </row>
    <row r="7" ht="30" customHeight="1">
      <c r="A7" s="12" t="inlineStr">
        <is>
          <t>A2</t>
        </is>
      </c>
      <c r="B7" s="13" t="inlineStr">
        <is>
          <t>Single-deployable model is appropriate</t>
        </is>
      </c>
      <c r="C7" s="14" t="inlineStr">
        <is>
          <t>Serving the SPA + API from one Express process suits this scale; a scaling path is understood.</t>
        </is>
      </c>
      <c r="D7" s="15" t="n">
        <v>3</v>
      </c>
      <c r="E7" s="16" t="n"/>
      <c r="F7" s="17">
        <f>IF(E7="","",D7*E7)</f>
        <v/>
      </c>
      <c r="G7" s="18" t="n"/>
      <c r="H7" s="19" t="n"/>
    </row>
    <row r="8" ht="30" customHeight="1">
      <c r="A8" s="12" t="inlineStr">
        <is>
          <t>A3</t>
        </is>
      </c>
      <c r="B8" s="13" t="inlineStr">
        <is>
          <t>State-management approach</t>
        </is>
      </c>
      <c r="C8" s="14" t="inlineStr">
        <is>
          <t>Context providers (Auth, Progress, Country, i18n) are scoped sensibly; no global-state sprawl.</t>
        </is>
      </c>
      <c r="D8" s="15" t="n">
        <v>3</v>
      </c>
      <c r="E8" s="16" t="n"/>
      <c r="F8" s="17">
        <f>IF(E8="","",D8*E8)</f>
        <v/>
      </c>
      <c r="G8" s="18" t="n"/>
      <c r="H8" s="19" t="n"/>
    </row>
    <row r="9" ht="30" customHeight="1">
      <c r="A9" s="12" t="inlineStr">
        <is>
          <t>A4</t>
        </is>
      </c>
      <c r="B9" s="13" t="inlineStr">
        <is>
          <t>Technology choices fit the problem</t>
        </is>
      </c>
      <c r="C9" s="14" t="inlineStr">
        <is>
          <t>React / Express / SQLite are appropriate for a partner portal of this size.</t>
        </is>
      </c>
      <c r="D9" s="15" t="n">
        <v>3</v>
      </c>
      <c r="E9" s="16" t="n"/>
      <c r="F9" s="17">
        <f>IF(E9="","",D9*E9)</f>
        <v/>
      </c>
      <c r="G9" s="18" t="n"/>
      <c r="H9" s="19" t="n"/>
    </row>
    <row r="10" ht="30" customHeight="1">
      <c r="A10" s="12" t="inlineStr">
        <is>
          <t>A5</t>
        </is>
      </c>
      <c r="B10" s="13" t="inlineStr">
        <is>
          <t>Scalability &amp; concurrency considered</t>
        </is>
      </c>
      <c r="C10" s="14" t="inlineStr">
        <is>
          <t>better-sqlite3 WAL write-concurrency limits are understood; a growth plan exists.</t>
        </is>
      </c>
      <c r="D10" s="15" t="n">
        <v>4</v>
      </c>
      <c r="E10" s="16" t="n"/>
      <c r="F10" s="17">
        <f>IF(E10="","",D10*E10)</f>
        <v/>
      </c>
      <c r="G10" s="18" t="n"/>
      <c r="H10" s="19" t="n"/>
    </row>
    <row r="11" ht="18" customHeight="1">
      <c r="A11" s="7" t="n"/>
      <c r="B11" s="20" t="inlineStr">
        <is>
          <t>A. Category average (1-5)</t>
        </is>
      </c>
      <c r="C11" s="7" t="n"/>
      <c r="D11" s="7" t="n"/>
      <c r="E11" s="7" t="n"/>
      <c r="F11" s="21">
        <f>IFERROR(SUM(F6:F10)/SUMIF(E6:E10,"&gt;=1",D6:D10),"")</f>
        <v/>
      </c>
      <c r="G11" s="7" t="n"/>
      <c r="H11" s="7" t="n"/>
    </row>
    <row r="13" ht="20" customHeight="1">
      <c r="A13" s="11" t="inlineStr">
        <is>
          <t>B. Security &amp; Authentication</t>
        </is>
      </c>
    </row>
    <row r="14" ht="30" customHeight="1">
      <c r="A14" s="12" t="inlineStr">
        <is>
          <t>B1</t>
        </is>
      </c>
      <c r="B14" s="13" t="inlineStr">
        <is>
          <t>Authentication robustness</t>
        </is>
      </c>
      <c r="C14" s="14" t="inlineStr">
        <is>
          <t>JWT with per-user token_version revocation; no hardcoded secret; 7-day expiry is reasonable.</t>
        </is>
      </c>
      <c r="D14" s="15" t="n">
        <v>5</v>
      </c>
      <c r="E14" s="16" t="n"/>
      <c r="F14" s="17">
        <f>IF(E14="","",D14*E14)</f>
        <v/>
      </c>
      <c r="G14" s="18" t="n"/>
      <c r="H14" s="19" t="n"/>
    </row>
    <row r="15" ht="30" customHeight="1">
      <c r="A15" s="12" t="inlineStr">
        <is>
          <t>B2</t>
        </is>
      </c>
      <c r="B15" s="13" t="inlineStr">
        <is>
          <t>Authorization &amp; least privilege</t>
        </is>
      </c>
      <c r="C15" s="14" t="inlineStr">
        <is>
          <t>Role middleware guards every private route; org-scoping blocks cross-tenant access.</t>
        </is>
      </c>
      <c r="D15" s="15" t="n">
        <v>5</v>
      </c>
      <c r="E15" s="16" t="n"/>
      <c r="F15" s="17">
        <f>IF(E15="","",D15*E15)</f>
        <v/>
      </c>
      <c r="G15" s="18" t="n"/>
      <c r="H15" s="19" t="n"/>
    </row>
    <row r="16" ht="30" customHeight="1">
      <c r="A16" s="12" t="inlineStr">
        <is>
          <t>B3</t>
        </is>
      </c>
      <c r="B16" s="13" t="inlineStr">
        <is>
          <t>Password &amp; credential handling</t>
        </is>
      </c>
      <c r="C16" s="14" t="inlineStr">
        <is>
          <t>bcrypt hashing; reset tokens expire and are single-use; brute-force tracking present.</t>
        </is>
      </c>
      <c r="D16" s="15" t="n">
        <v>4</v>
      </c>
      <c r="E16" s="16" t="n"/>
      <c r="F16" s="17">
        <f>IF(E16="","",D16*E16)</f>
        <v/>
      </c>
      <c r="G16" s="18" t="n"/>
      <c r="H16" s="19" t="n"/>
    </row>
    <row r="17" ht="30" customHeight="1">
      <c r="A17" s="12" t="inlineStr">
        <is>
          <t>B4</t>
        </is>
      </c>
      <c r="B17" s="13" t="inlineStr">
        <is>
          <t>Transport &amp; security headers</t>
        </is>
      </c>
      <c r="C17" s="14" t="inlineStr">
        <is>
          <t>Helmet configured; HTTPS assumed in prod; CORS restricted via allow-list.</t>
        </is>
      </c>
      <c r="D17" s="15" t="n">
        <v>4</v>
      </c>
      <c r="E17" s="16" t="n"/>
      <c r="F17" s="17">
        <f>IF(E17="","",D17*E17)</f>
        <v/>
      </c>
      <c r="G17" s="18" t="n"/>
      <c r="H17" s="19" t="n"/>
    </row>
    <row r="18" ht="30" customHeight="1">
      <c r="A18" s="12" t="inlineStr">
        <is>
          <t>B5</t>
        </is>
      </c>
      <c r="B18" s="13" t="inlineStr">
        <is>
          <t>Rate limiting &amp; abuse protection</t>
        </is>
      </c>
      <c r="C18" s="14" t="inlineStr">
        <is>
          <t>Global and strict auth limiters are tuned appropriately.</t>
        </is>
      </c>
      <c r="D18" s="15" t="n">
        <v>3</v>
      </c>
      <c r="E18" s="16" t="n"/>
      <c r="F18" s="17">
        <f>IF(E18="","",D18*E18)</f>
        <v/>
      </c>
      <c r="G18" s="18" t="n"/>
      <c r="H18" s="19" t="n"/>
    </row>
    <row r="19" ht="30" customHeight="1">
      <c r="A19" s="12" t="inlineStr">
        <is>
          <t>B6</t>
        </is>
      </c>
      <c r="B19" s="13" t="inlineStr">
        <is>
          <t>Secrets &amp; configuration management</t>
        </is>
      </c>
      <c r="C19" s="14" t="inlineStr">
        <is>
          <t>JWT_SECRET, DB_PATH, CORS_ORIGINS from environment; nothing sensitive committed.</t>
        </is>
      </c>
      <c r="D19" s="15" t="n">
        <v>4</v>
      </c>
      <c r="E19" s="16" t="n"/>
      <c r="F19" s="17">
        <f>IF(E19="","",D19*E19)</f>
        <v/>
      </c>
      <c r="G19" s="18" t="n"/>
      <c r="H19" s="19" t="n"/>
    </row>
    <row r="20" ht="18" customHeight="1">
      <c r="A20" s="7" t="n"/>
      <c r="B20" s="20" t="inlineStr">
        <is>
          <t>B. Category average (1-5)</t>
        </is>
      </c>
      <c r="C20" s="7" t="n"/>
      <c r="D20" s="7" t="n"/>
      <c r="E20" s="7" t="n"/>
      <c r="F20" s="21">
        <f>IFERROR(SUM(F14:F19)/SUMIF(E14:E19,"&gt;=1",D14:D19),"")</f>
        <v/>
      </c>
      <c r="G20" s="7" t="n"/>
      <c r="H20" s="7" t="n"/>
    </row>
    <row r="22" ht="20" customHeight="1">
      <c r="A22" s="11" t="inlineStr">
        <is>
          <t>C. Data Model &amp; Integrity</t>
        </is>
      </c>
    </row>
    <row r="23" ht="30" customHeight="1">
      <c r="A23" s="12" t="inlineStr">
        <is>
          <t>C1</t>
        </is>
      </c>
      <c r="B23" s="13" t="inlineStr">
        <is>
          <t>Schema, keys &amp; normalization</t>
        </is>
      </c>
      <c r="C23" s="14" t="inlineStr">
        <is>
          <t>Foreign keys enforced; sensible primary keys; minimal duplication.</t>
        </is>
      </c>
      <c r="D23" s="15" t="n">
        <v>4</v>
      </c>
      <c r="E23" s="16" t="n"/>
      <c r="F23" s="17">
        <f>IF(E23="","",D23*E23)</f>
        <v/>
      </c>
      <c r="G23" s="18" t="n"/>
      <c r="H23" s="19" t="n"/>
    </row>
    <row r="24" ht="30" customHeight="1">
      <c r="A24" s="12" t="inlineStr">
        <is>
          <t>C2</t>
        </is>
      </c>
      <c r="B24" s="13" t="inlineStr">
        <is>
          <t>Migration strategy</t>
        </is>
      </c>
      <c r="C24" s="14" t="inlineStr">
        <is>
          <t>Additive, guarded ALTER TABLE statements are safe and repeatable.</t>
        </is>
      </c>
      <c r="D24" s="15" t="n">
        <v>3</v>
      </c>
      <c r="E24" s="16" t="n"/>
      <c r="F24" s="17">
        <f>IF(E24="","",D24*E24)</f>
        <v/>
      </c>
      <c r="G24" s="18" t="n"/>
      <c r="H24" s="19" t="n"/>
    </row>
    <row r="25" ht="30" customHeight="1">
      <c r="A25" s="12" t="inlineStr">
        <is>
          <t>C3</t>
        </is>
      </c>
      <c r="B25" s="13" t="inlineStr">
        <is>
          <t>Multi-tenancy isolation</t>
        </is>
      </c>
      <c r="C25" s="14" t="inlineStr">
        <is>
          <t>org_id scoping is consistent; queries cannot return another org's rows.</t>
        </is>
      </c>
      <c r="D25" s="15" t="n">
        <v>5</v>
      </c>
      <c r="E25" s="16" t="n"/>
      <c r="F25" s="17">
        <f>IF(E25="","",D25*E25)</f>
        <v/>
      </c>
      <c r="G25" s="18" t="n"/>
      <c r="H25" s="19" t="n"/>
    </row>
    <row r="26" ht="30" customHeight="1">
      <c r="A26" s="12" t="inlineStr">
        <is>
          <t>C4</t>
        </is>
      </c>
      <c r="B26" s="13" t="inlineStr">
        <is>
          <t>Auditability</t>
        </is>
      </c>
      <c r="C26" s="14" t="inlineStr">
        <is>
          <t>audit_log captures sensitive actions with actor, entity, and timestamp.</t>
        </is>
      </c>
      <c r="D26" s="15" t="n">
        <v>3</v>
      </c>
      <c r="E26" s="16" t="n"/>
      <c r="F26" s="17">
        <f>IF(E26="","",D26*E26)</f>
        <v/>
      </c>
      <c r="G26" s="18" t="n"/>
      <c r="H26" s="19" t="n"/>
    </row>
    <row r="27" ht="30" customHeight="1">
      <c r="A27" s="12" t="inlineStr">
        <is>
          <t>C5</t>
        </is>
      </c>
      <c r="B27" s="13" t="inlineStr">
        <is>
          <t>Server-side data validation</t>
        </is>
      </c>
      <c r="C27" s="14" t="inlineStr">
        <is>
          <t>Inputs are validated before they are persisted.</t>
        </is>
      </c>
      <c r="D27" s="15" t="n">
        <v>4</v>
      </c>
      <c r="E27" s="16" t="n"/>
      <c r="F27" s="17">
        <f>IF(E27="","",D27*E27)</f>
        <v/>
      </c>
      <c r="G27" s="18" t="n"/>
      <c r="H27" s="19" t="n"/>
    </row>
    <row r="28" ht="18" customHeight="1">
      <c r="A28" s="7" t="n"/>
      <c r="B28" s="20" t="inlineStr">
        <is>
          <t>C. Category average (1-5)</t>
        </is>
      </c>
      <c r="C28" s="7" t="n"/>
      <c r="D28" s="7" t="n"/>
      <c r="E28" s="7" t="n"/>
      <c r="F28" s="21">
        <f>IFERROR(SUM(F23:F27)/SUMIF(E23:E27,"&gt;=1",D23:D27),"")</f>
        <v/>
      </c>
      <c r="G28" s="7" t="n"/>
      <c r="H28" s="7" t="n"/>
    </row>
    <row r="30" ht="20" customHeight="1">
      <c r="A30" s="11" t="inlineStr">
        <is>
          <t>D. API &amp; Backend</t>
        </is>
      </c>
    </row>
    <row r="31" ht="30" customHeight="1">
      <c r="A31" s="12" t="inlineStr">
        <is>
          <t>D1</t>
        </is>
      </c>
      <c r="B31" s="13" t="inlineStr">
        <is>
          <t>REST design consistency</t>
        </is>
      </c>
      <c r="C31" s="14" t="inlineStr">
        <is>
          <t>Routes, verbs, and status codes are predictable and consistent.</t>
        </is>
      </c>
      <c r="D31" s="15" t="n">
        <v>3</v>
      </c>
      <c r="E31" s="16" t="n"/>
      <c r="F31" s="17">
        <f>IF(E31="","",D31*E31)</f>
        <v/>
      </c>
      <c r="G31" s="18" t="n"/>
      <c r="H31" s="19" t="n"/>
    </row>
    <row r="32" ht="30" customHeight="1">
      <c r="A32" s="12" t="inlineStr">
        <is>
          <t>D2</t>
        </is>
      </c>
      <c r="B32" s="13" t="inlineStr">
        <is>
          <t>Error handling</t>
        </is>
      </c>
      <c r="C32" s="14" t="inlineStr">
        <is>
          <t>Central handler; no internal detail leaked; correct status codes returned.</t>
        </is>
      </c>
      <c r="D32" s="15" t="n">
        <v>4</v>
      </c>
      <c r="E32" s="16" t="n"/>
      <c r="F32" s="17">
        <f>IF(E32="","",D32*E32)</f>
        <v/>
      </c>
      <c r="G32" s="18" t="n"/>
      <c r="H32" s="19" t="n"/>
    </row>
    <row r="33" ht="30" customHeight="1">
      <c r="A33" s="12" t="inlineStr">
        <is>
          <t>D3</t>
        </is>
      </c>
      <c r="B33" s="13" t="inlineStr">
        <is>
          <t>Injection &amp; input safety</t>
        </is>
      </c>
      <c r="C33" s="14" t="inlineStr">
        <is>
          <t>Parameterized queries throughout; request bodies validated and bounded.</t>
        </is>
      </c>
      <c r="D33" s="15" t="n">
        <v>5</v>
      </c>
      <c r="E33" s="16" t="n"/>
      <c r="F33" s="17">
        <f>IF(E33="","",D33*E33)</f>
        <v/>
      </c>
      <c r="G33" s="18" t="n"/>
      <c r="H33" s="19" t="n"/>
    </row>
    <row r="34" ht="30" customHeight="1">
      <c r="A34" s="12" t="inlineStr">
        <is>
          <t>D4</t>
        </is>
      </c>
      <c r="B34" s="13" t="inlineStr">
        <is>
          <t>File generation &amp; I/O safety</t>
        </is>
      </c>
      <c r="C34" s="14" t="inlineStr">
        <is>
          <t>PDF / CSV / XLSX generation is bounded; uploads are size-limited and typed.</t>
        </is>
      </c>
      <c r="D34" s="15" t="n">
        <v>3</v>
      </c>
      <c r="E34" s="16" t="n"/>
      <c r="F34" s="17">
        <f>IF(E34="","",D34*E34)</f>
        <v/>
      </c>
      <c r="G34" s="18" t="n"/>
      <c r="H34" s="19" t="n"/>
    </row>
    <row r="35" ht="30" customHeight="1">
      <c r="A35" s="12" t="inlineStr">
        <is>
          <t>D5</t>
        </is>
      </c>
      <c r="B35" s="13" t="inlineStr">
        <is>
          <t>Public API surface</t>
        </is>
      </c>
      <c r="C35" s="14" t="inlineStr">
        <is>
          <t>API keys are hashed, scoped, and expirable; published docs are accurate.</t>
        </is>
      </c>
      <c r="D35" s="15" t="n">
        <v>3</v>
      </c>
      <c r="E35" s="16" t="n"/>
      <c r="F35" s="17">
        <f>IF(E35="","",D35*E35)</f>
        <v/>
      </c>
      <c r="G35" s="18" t="n"/>
      <c r="H35" s="19" t="n"/>
    </row>
    <row r="36" ht="18" customHeight="1">
      <c r="A36" s="7" t="n"/>
      <c r="B36" s="20" t="inlineStr">
        <is>
          <t>D. Category average (1-5)</t>
        </is>
      </c>
      <c r="C36" s="7" t="n"/>
      <c r="D36" s="7" t="n"/>
      <c r="E36" s="7" t="n"/>
      <c r="F36" s="21">
        <f>IFERROR(SUM(F31:F35)/SUMIF(E31:E35,"&gt;=1",D31:D35),"")</f>
        <v/>
      </c>
      <c r="G36" s="7" t="n"/>
      <c r="H36" s="7" t="n"/>
    </row>
    <row r="38" ht="20" customHeight="1">
      <c r="A38" s="11" t="inlineStr">
        <is>
          <t>E. Frontend &amp; UX</t>
        </is>
      </c>
    </row>
    <row r="39" ht="30" customHeight="1">
      <c r="A39" s="12" t="inlineStr">
        <is>
          <t>E1</t>
        </is>
      </c>
      <c r="B39" s="13" t="inlineStr">
        <is>
          <t>Routing &amp; access gating</t>
        </is>
      </c>
      <c r="C39" s="14" t="inlineStr">
        <is>
          <t>AuthGate / ProtectedRoute correctly guard private and role-based routes.</t>
        </is>
      </c>
      <c r="D39" s="15" t="n">
        <v>4</v>
      </c>
      <c r="E39" s="16" t="n"/>
      <c r="F39" s="17">
        <f>IF(E39="","",D39*E39)</f>
        <v/>
      </c>
      <c r="G39" s="18" t="n"/>
      <c r="H39" s="19" t="n"/>
    </row>
    <row r="40" ht="30" customHeight="1">
      <c r="A40" s="12" t="inlineStr">
        <is>
          <t>E2</t>
        </is>
      </c>
      <c r="B40" s="13" t="inlineStr">
        <is>
          <t>Session handling</t>
        </is>
      </c>
      <c r="C40" s="14" t="inlineStr">
        <is>
          <t>401 triggers clean auto-logout; token storage and migration are safe.</t>
        </is>
      </c>
      <c r="D40" s="15" t="n">
        <v>3</v>
      </c>
      <c r="E40" s="16" t="n"/>
      <c r="F40" s="17">
        <f>IF(E40="","",D40*E40)</f>
        <v/>
      </c>
      <c r="G40" s="18" t="n"/>
      <c r="H40" s="19" t="n"/>
    </row>
    <row r="41" ht="30" customHeight="1">
      <c r="A41" s="12" t="inlineStr">
        <is>
          <t>E3</t>
        </is>
      </c>
      <c r="B41" s="13" t="inlineStr">
        <is>
          <t>Accessibility &amp; responsiveness</t>
        </is>
      </c>
      <c r="C41" s="14" t="inlineStr">
        <is>
          <t>Keyboard navigation, colour contrast, and mobile layout are acceptable.</t>
        </is>
      </c>
      <c r="D41" s="15" t="n">
        <v>3</v>
      </c>
      <c r="E41" s="16" t="n"/>
      <c r="F41" s="17">
        <f>IF(E41="","",D41*E41)</f>
        <v/>
      </c>
      <c r="G41" s="18" t="n"/>
      <c r="H41" s="19" t="n"/>
    </row>
    <row r="42" ht="30" customHeight="1">
      <c r="A42" s="12" t="inlineStr">
        <is>
          <t>E4</t>
        </is>
      </c>
      <c r="B42" s="13" t="inlineStr">
        <is>
          <t>Internationalization</t>
        </is>
      </c>
      <c r="C42" s="14" t="inlineStr">
        <is>
          <t>i18n and country context work; no hardcoded copy where localisation matters.</t>
        </is>
      </c>
      <c r="D42" s="15" t="n">
        <v>2</v>
      </c>
      <c r="E42" s="16" t="n"/>
      <c r="F42" s="17">
        <f>IF(E42="","",D42*E42)</f>
        <v/>
      </c>
      <c r="G42" s="18" t="n"/>
      <c r="H42" s="19" t="n"/>
    </row>
    <row r="43" ht="30" customHeight="1">
      <c r="A43" s="12" t="inlineStr">
        <is>
          <t>E5</t>
        </is>
      </c>
      <c r="B43" s="13" t="inlineStr">
        <is>
          <t>Loading, empty &amp; error states</t>
        </is>
      </c>
      <c r="C43" s="14" t="inlineStr">
        <is>
          <t>Users get clear loading, empty, and error feedback.</t>
        </is>
      </c>
      <c r="D43" s="15" t="n">
        <v>3</v>
      </c>
      <c r="E43" s="16" t="n"/>
      <c r="F43" s="17">
        <f>IF(E43="","",D43*E43)</f>
        <v/>
      </c>
      <c r="G43" s="18" t="n"/>
      <c r="H43" s="19" t="n"/>
    </row>
    <row r="44" ht="18" customHeight="1">
      <c r="A44" s="7" t="n"/>
      <c r="B44" s="20" t="inlineStr">
        <is>
          <t>E. Category average (1-5)</t>
        </is>
      </c>
      <c r="C44" s="7" t="n"/>
      <c r="D44" s="7" t="n"/>
      <c r="E44" s="7" t="n"/>
      <c r="F44" s="21">
        <f>IFERROR(SUM(F39:F43)/SUMIF(E39:E43,"&gt;=1",D39:D43),"")</f>
        <v/>
      </c>
      <c r="G44" s="7" t="n"/>
      <c r="H44" s="7" t="n"/>
    </row>
    <row r="46" ht="20" customHeight="1">
      <c r="A46" s="11" t="inlineStr">
        <is>
          <t>F. Features &amp; Functionality</t>
        </is>
      </c>
    </row>
    <row r="47" ht="30" customHeight="1">
      <c r="A47" s="12" t="inlineStr">
        <is>
          <t>F1</t>
        </is>
      </c>
      <c r="B47" s="13" t="inlineStr">
        <is>
          <t>LMS flow: learn -&gt; quiz -&gt; certify</t>
        </is>
      </c>
      <c r="C47" s="14" t="inlineStr">
        <is>
          <t>Progress tracking, quiz policies, and PDF certificate issuance work end-to-end.</t>
        </is>
      </c>
      <c r="D47" s="15" t="n">
        <v>4</v>
      </c>
      <c r="E47" s="16" t="n"/>
      <c r="F47" s="17">
        <f>IF(E47="","",D47*E47)</f>
        <v/>
      </c>
      <c r="G47" s="18" t="n"/>
      <c r="H47" s="19" t="n"/>
    </row>
    <row r="48" ht="30" customHeight="1">
      <c r="A48" s="12" t="inlineStr">
        <is>
          <t>F2</t>
        </is>
      </c>
      <c r="B48" s="13" t="inlineStr">
        <is>
          <t>Gamification &amp; engagement</t>
        </is>
      </c>
      <c r="C48" s="14" t="inlineStr">
        <is>
          <t>Points, badges, and leaderboards compute correctly with no gaming loopholes.</t>
        </is>
      </c>
      <c r="D48" s="15" t="n">
        <v>2</v>
      </c>
      <c r="E48" s="16" t="n"/>
      <c r="F48" s="17">
        <f>IF(E48="","",D48*E48)</f>
        <v/>
      </c>
      <c r="G48" s="18" t="n"/>
      <c r="H48" s="19" t="n"/>
    </row>
    <row r="49" ht="30" customHeight="1">
      <c r="A49" s="12" t="inlineStr">
        <is>
          <t>F3</t>
        </is>
      </c>
      <c r="B49" s="13" t="inlineStr">
        <is>
          <t>Deal registration &amp; protection</t>
        </is>
      </c>
      <c r="C49" s="14" t="inlineStr">
        <is>
          <t>Duplicate detection and activity-based protection behave as specified.</t>
        </is>
      </c>
      <c r="D49" s="15" t="n">
        <v>5</v>
      </c>
      <c r="E49" s="16" t="n"/>
      <c r="F49" s="17">
        <f>IF(E49="","",D49*E49)</f>
        <v/>
      </c>
      <c r="G49" s="18" t="n"/>
      <c r="H49" s="19" t="n"/>
    </row>
    <row r="50" ht="30" customHeight="1">
      <c r="A50" s="12" t="inlineStr">
        <is>
          <t>F4</t>
        </is>
      </c>
      <c r="B50" s="13" t="inlineStr">
        <is>
          <t>Sales navigator &amp; forecast</t>
        </is>
      </c>
      <c r="C50" s="14" t="inlineStr">
        <is>
          <t>Pipeline stages and the weighted forecast calculate correctly.</t>
        </is>
      </c>
      <c r="D50" s="15" t="n">
        <v>3</v>
      </c>
      <c r="E50" s="16" t="n"/>
      <c r="F50" s="17">
        <f>IF(E50="","",D50*E50)</f>
        <v/>
      </c>
      <c r="G50" s="18" t="n"/>
      <c r="H50" s="19" t="n"/>
    </row>
    <row r="51" ht="30" customHeight="1">
      <c r="A51" s="12" t="inlineStr">
        <is>
          <t>F5</t>
        </is>
      </c>
      <c r="B51" s="13" t="inlineStr">
        <is>
          <t>Quote builder accuracy</t>
        </is>
      </c>
      <c r="C51" s="14" t="inlineStr">
        <is>
          <t>Pricing catalog, discounts, totals, and exports are accurate.</t>
        </is>
      </c>
      <c r="D51" s="15" t="n">
        <v>4</v>
      </c>
      <c r="E51" s="16" t="n"/>
      <c r="F51" s="17">
        <f>IF(E51="","",D51*E51)</f>
        <v/>
      </c>
      <c r="G51" s="18" t="n"/>
      <c r="H51" s="19" t="n"/>
    </row>
    <row r="52" ht="30" customHeight="1">
      <c r="A52" s="12" t="inlineStr">
        <is>
          <t>F6</t>
        </is>
      </c>
      <c r="B52" s="13" t="inlineStr">
        <is>
          <t>Tier engine correctness</t>
        </is>
      </c>
      <c r="C52" s="14" t="inlineStr">
        <is>
          <t>Tier thresholds and role weighting (S x1.0 / P x1.5 / T x2.0) match the program spec.</t>
        </is>
      </c>
      <c r="D52" s="15" t="n">
        <v>4</v>
      </c>
      <c r="E52" s="16" t="n"/>
      <c r="F52" s="17">
        <f>IF(E52="","",D52*E52)</f>
        <v/>
      </c>
      <c r="G52" s="18" t="n"/>
      <c r="H52" s="19" t="n"/>
    </row>
    <row r="53" ht="18" customHeight="1">
      <c r="A53" s="7" t="n"/>
      <c r="B53" s="20" t="inlineStr">
        <is>
          <t>F. Category average (1-5)</t>
        </is>
      </c>
      <c r="C53" s="7" t="n"/>
      <c r="D53" s="7" t="n"/>
      <c r="E53" s="7" t="n"/>
      <c r="F53" s="21">
        <f>IFERROR(SUM(F47:F52)/SUMIF(E47:E52,"&gt;=1",D47:D52),"")</f>
        <v/>
      </c>
      <c r="G53" s="7" t="n"/>
      <c r="H53" s="7" t="n"/>
    </row>
    <row r="55" ht="20" customHeight="1">
      <c r="A55" s="11" t="inlineStr">
        <is>
          <t>G. Code Quality &amp; Maintainability</t>
        </is>
      </c>
    </row>
    <row r="56" ht="30" customHeight="1">
      <c r="A56" s="12" t="inlineStr">
        <is>
          <t>G1</t>
        </is>
      </c>
      <c r="B56" s="13" t="inlineStr">
        <is>
          <t>Structure &amp; modularity</t>
        </is>
      </c>
      <c r="C56" s="14" t="inlineStr">
        <is>
          <t>Clear routes / services / components separation; small, focused modules.</t>
        </is>
      </c>
      <c r="D56" s="15" t="n">
        <v>3</v>
      </c>
      <c r="E56" s="16" t="n"/>
      <c r="F56" s="17">
        <f>IF(E56="","",D56*E56)</f>
        <v/>
      </c>
      <c r="G56" s="18" t="n"/>
      <c r="H56" s="19" t="n"/>
    </row>
    <row r="57" ht="30" customHeight="1">
      <c r="A57" s="12" t="inlineStr">
        <is>
          <t>G2</t>
        </is>
      </c>
      <c r="B57" s="13" t="inlineStr">
        <is>
          <t>Readability &amp; naming</t>
        </is>
      </c>
      <c r="C57" s="14" t="inlineStr">
        <is>
          <t>Consistent, self-documenting names and style.</t>
        </is>
      </c>
      <c r="D57" s="15" t="n">
        <v>3</v>
      </c>
      <c r="E57" s="16" t="n"/>
      <c r="F57" s="17">
        <f>IF(E57="","",D57*E57)</f>
        <v/>
      </c>
      <c r="G57" s="18" t="n"/>
      <c r="H57" s="19" t="n"/>
    </row>
    <row r="58" ht="30" customHeight="1">
      <c r="A58" s="12" t="inlineStr">
        <is>
          <t>G3</t>
        </is>
      </c>
      <c r="B58" s="13" t="inlineStr">
        <is>
          <t>Reusability / DRY</t>
        </is>
      </c>
      <c r="C58" s="14" t="inlineStr">
        <is>
          <t>Shared logic (API client, middleware) is not duplicated.</t>
        </is>
      </c>
      <c r="D58" s="15" t="n">
        <v>3</v>
      </c>
      <c r="E58" s="16" t="n"/>
      <c r="F58" s="17">
        <f>IF(E58="","",D58*E58)</f>
        <v/>
      </c>
      <c r="G58" s="18" t="n"/>
      <c r="H58" s="19" t="n"/>
    </row>
    <row r="59" ht="30" customHeight="1">
      <c r="A59" s="12" t="inlineStr">
        <is>
          <t>G4</t>
        </is>
      </c>
      <c r="B59" s="13" t="inlineStr">
        <is>
          <t>Automated testing</t>
        </is>
      </c>
      <c r="C59" s="14" t="inlineStr">
        <is>
          <t>Meaningful automated tests cover critical paths (auth, deals, scoring).</t>
        </is>
      </c>
      <c r="D59" s="15" t="n">
        <v>4</v>
      </c>
      <c r="E59" s="16" t="n"/>
      <c r="F59" s="17">
        <f>IF(E59="","",D59*E59)</f>
        <v/>
      </c>
      <c r="G59" s="18" t="n"/>
      <c r="H59" s="19" t="n"/>
    </row>
    <row r="60" ht="30" customHeight="1">
      <c r="A60" s="12" t="inlineStr">
        <is>
          <t>G5</t>
        </is>
      </c>
      <c r="B60" s="13" t="inlineStr">
        <is>
          <t>Dependency hygiene</t>
        </is>
      </c>
      <c r="C60" s="14" t="inlineStr">
        <is>
          <t>Dependencies are current, minimal, and free of known vulnerabilities.</t>
        </is>
      </c>
      <c r="D60" s="15" t="n">
        <v>3</v>
      </c>
      <c r="E60" s="16" t="n"/>
      <c r="F60" s="17">
        <f>IF(E60="","",D60*E60)</f>
        <v/>
      </c>
      <c r="G60" s="18" t="n"/>
      <c r="H60" s="19" t="n"/>
    </row>
    <row r="61" ht="18" customHeight="1">
      <c r="A61" s="7" t="n"/>
      <c r="B61" s="20" t="inlineStr">
        <is>
          <t>G. Category average (1-5)</t>
        </is>
      </c>
      <c r="C61" s="7" t="n"/>
      <c r="D61" s="7" t="n"/>
      <c r="E61" s="7" t="n"/>
      <c r="F61" s="21">
        <f>IFERROR(SUM(F56:F60)/SUMIF(E56:E60,"&gt;=1",D56:D60),"")</f>
        <v/>
      </c>
      <c r="G61" s="7" t="n"/>
      <c r="H61" s="7" t="n"/>
    </row>
    <row r="63" ht="20" customHeight="1">
      <c r="A63" s="11" t="inlineStr">
        <is>
          <t>H. Operations, Deployment &amp; Docs</t>
        </is>
      </c>
    </row>
    <row r="64" ht="30" customHeight="1">
      <c r="A64" s="12" t="inlineStr">
        <is>
          <t>H1</t>
        </is>
      </c>
      <c r="B64" s="13" t="inlineStr">
        <is>
          <t>Configuration &amp; env docs</t>
        </is>
      </c>
      <c r="C64" s="14" t="inlineStr">
        <is>
          <t>.env.example is complete; setup is clearly documented.</t>
        </is>
      </c>
      <c r="D64" s="15" t="n">
        <v>3</v>
      </c>
      <c r="E64" s="16" t="n"/>
      <c r="F64" s="17">
        <f>IF(E64="","",D64*E64)</f>
        <v/>
      </c>
      <c r="G64" s="18" t="n"/>
      <c r="H64" s="19" t="n"/>
    </row>
    <row r="65" ht="30" customHeight="1">
      <c r="A65" s="12" t="inlineStr">
        <is>
          <t>H2</t>
        </is>
      </c>
      <c r="B65" s="13" t="inlineStr">
        <is>
          <t>Build &amp; deploy process</t>
        </is>
      </c>
      <c r="C65" s="14" t="inlineStr">
        <is>
          <t>Vite build + server start is documented and reproducible.</t>
        </is>
      </c>
      <c r="D65" s="15" t="n">
        <v>3</v>
      </c>
      <c r="E65" s="16" t="n"/>
      <c r="F65" s="17">
        <f>IF(E65="","",D65*E65)</f>
        <v/>
      </c>
      <c r="G65" s="18" t="n"/>
      <c r="H65" s="19" t="n"/>
    </row>
    <row r="66" ht="30" customHeight="1">
      <c r="A66" s="12" t="inlineStr">
        <is>
          <t>H3</t>
        </is>
      </c>
      <c r="B66" s="13" t="inlineStr">
        <is>
          <t>Backup &amp; recovery</t>
        </is>
      </c>
      <c r="C66" s="14" t="inlineStr">
        <is>
          <t>A SQLite file backup / restore plan exists and is tested.</t>
        </is>
      </c>
      <c r="D66" s="15" t="n">
        <v>4</v>
      </c>
      <c r="E66" s="16" t="n"/>
      <c r="F66" s="17">
        <f>IF(E66="","",D66*E66)</f>
        <v/>
      </c>
      <c r="G66" s="18" t="n"/>
      <c r="H66" s="19" t="n"/>
    </row>
    <row r="67" ht="30" customHeight="1">
      <c r="A67" s="12" t="inlineStr">
        <is>
          <t>H4</t>
        </is>
      </c>
      <c r="B67" s="13" t="inlineStr">
        <is>
          <t>Observability &amp; logging</t>
        </is>
      </c>
      <c r="C67" s="14" t="inlineStr">
        <is>
          <t>Logging is sufficient to diagnose issues; health check present.</t>
        </is>
      </c>
      <c r="D67" s="15" t="n">
        <v>3</v>
      </c>
      <c r="E67" s="16" t="n"/>
      <c r="F67" s="17">
        <f>IF(E67="","",D67*E67)</f>
        <v/>
      </c>
      <c r="G67" s="18" t="n"/>
      <c r="H67" s="19" t="n"/>
    </row>
    <row r="68" ht="30" customHeight="1">
      <c r="A68" s="12" t="inlineStr">
        <is>
          <t>H5</t>
        </is>
      </c>
      <c r="B68" s="13" t="inlineStr">
        <is>
          <t>Documentation completeness</t>
        </is>
      </c>
      <c r="C68" s="14" t="inlineStr">
        <is>
          <t>README and architecture docs match the implementation.</t>
        </is>
      </c>
      <c r="D68" s="15" t="n">
        <v>3</v>
      </c>
      <c r="E68" s="16" t="n"/>
      <c r="F68" s="17">
        <f>IF(E68="","",D68*E68)</f>
        <v/>
      </c>
      <c r="G68" s="18" t="n"/>
      <c r="H68" s="19" t="n"/>
    </row>
    <row r="69" ht="18" customHeight="1">
      <c r="A69" s="7" t="n"/>
      <c r="B69" s="20" t="inlineStr">
        <is>
          <t>H. Category average (1-5)</t>
        </is>
      </c>
      <c r="C69" s="7" t="n"/>
      <c r="D69" s="7" t="n"/>
      <c r="E69" s="7" t="n"/>
      <c r="F69" s="21">
        <f>IFERROR(SUM(F64:F68)/SUMIF(E64:E68,"&gt;=1",D64:D68),"")</f>
        <v/>
      </c>
      <c r="G69" s="7" t="n"/>
      <c r="H69" s="7" t="n"/>
    </row>
    <row r="71" ht="24" customHeight="1">
      <c r="A71" s="22" t="inlineStr">
        <is>
          <t>OVERALL WEIGHTED SCORE  (1-5)</t>
        </is>
      </c>
      <c r="B71" s="23" t="n"/>
      <c r="C71" s="23" t="n"/>
      <c r="D71" s="24">
        <f>IFERROR(SUMPRODUCT(D6:D68,E6:E68)/SUMIF(E6:E68,"&gt;=1",D6:D68),"")</f>
        <v/>
      </c>
      <c r="E71" s="25" t="inlineStr">
        <is>
          <t>Completed</t>
        </is>
      </c>
      <c r="F71" s="23" t="n"/>
      <c r="G71" s="26">
        <f>COUNTIF(E6:E68,"&gt;=1")&amp;" / 42 scored"</f>
        <v/>
      </c>
      <c r="H71" s="27" t="n"/>
    </row>
    <row r="72" ht="24" customHeight="1">
      <c r="A72" s="28" t="inlineStr">
        <is>
          <t>RECOMMENDATION</t>
        </is>
      </c>
      <c r="B72" s="23" t="n"/>
      <c r="C72" s="23" t="n"/>
      <c r="D72" s="29">
        <f>IF(COUNTIF(E6:E68,"&gt;=1")&lt;42,"Review in progress — complete all criteria for a final recommendation",IF(D71&gt;=4,"APPROVE — strong across the board",IF(D71&gt;=3,"APPROVE WITH CONDITIONS — address flagged items","REWORK REQUIRED — material gaps to resolve")))</f>
        <v/>
      </c>
      <c r="E72" s="23" t="n"/>
      <c r="F72" s="23" t="n"/>
      <c r="G72" s="23" t="n"/>
      <c r="H72" s="23" t="n"/>
    </row>
  </sheetData>
  <mergeCells count="14">
    <mergeCell ref="A1:H1"/>
    <mergeCell ref="A72:C72"/>
    <mergeCell ref="A30:H30"/>
    <mergeCell ref="A71:C71"/>
    <mergeCell ref="A55:H55"/>
    <mergeCell ref="A38:H38"/>
    <mergeCell ref="A2:H2"/>
    <mergeCell ref="A63:H63"/>
    <mergeCell ref="E71:F71"/>
    <mergeCell ref="D72:H72"/>
    <mergeCell ref="A13:H13"/>
    <mergeCell ref="A5:H5"/>
    <mergeCell ref="A46:H46"/>
    <mergeCell ref="A22:H22"/>
  </mergeCells>
  <dataValidations count="2">
    <dataValidation sqref="E6 E7 E8 E9 E10 E14 E15 E16 E17 E18 E19 E23 E24 E25 E26 E27 E31 E32 E33 E34 E35 E39 E40 E41 E42 E43 E47 E48 E49 E50 E51 E52 E56 E57 E58 E59 E60 E64 E65 E66 E67 E68" showDropDown="0" showInputMessage="0" showErrorMessage="1" allowBlank="1" errorTitle="Score 1-5" error="Enter a whole number from 1 (critical gap) to 5 (excellent)." type="whole" operator="between">
      <formula1>1</formula1>
      <formula2>5</formula2>
    </dataValidation>
    <dataValidation sqref="H6 H7 H8 H9 H10 H14 H15 H16 H17 H18 H19 H23 H24 H25 H26 H27 H31 H32 H33 H34 H35 H39 H40 H41 H42 H43 H47 H48 H49 H50 H51 H52 H56 H57 H58 H59 H60 H64 H65 H66 H67 H68" showDropDown="0" showInputMessage="0" showErrorMessage="0" allowBlank="1" type="list">
      <formula1>"Not Started,In Review,Pass,Needs Work,Fail,N/A"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showGridLines="0" workbookViewId="0">
      <pane ySplit="4" topLeftCell="A5" activePane="bottomLeft" state="frozen"/>
      <selection pane="bottomLeft" activeCell="A1" sqref="A1"/>
    </sheetView>
  </sheetViews>
  <sheetFormatPr baseColWidth="8" defaultRowHeight="15"/>
  <cols>
    <col width="8" customWidth="1" min="1" max="1"/>
    <col width="22" customWidth="1" min="2" max="2"/>
    <col width="12" customWidth="1" min="3" max="3"/>
    <col width="46" customWidth="1" min="4" max="4"/>
    <col width="46" customWidth="1" min="5" max="5"/>
    <col width="16" customWidth="1" min="6" max="6"/>
    <col width="13" customWidth="1" min="7" max="7"/>
    <col width="14" customWidth="1" min="8" max="8"/>
    <col width="14" customWidth="1" min="9" max="9"/>
  </cols>
  <sheetData>
    <row r="1" ht="26" customHeight="1">
      <c r="A1" s="8" t="inlineStr">
        <is>
          <t>Findings &amp; Adjustments Tracker</t>
        </is>
      </c>
    </row>
    <row r="2">
      <c r="A2" s="9" t="inlineStr">
        <is>
          <t>Log every issue or change request as its own row. Update Status until each item is closed out.</t>
        </is>
      </c>
    </row>
    <row r="4" ht="20" customHeight="1">
      <c r="A4" s="10" t="inlineStr">
        <is>
          <t>ID</t>
        </is>
      </c>
      <c r="B4" s="10" t="inlineStr">
        <is>
          <t>Area / Category</t>
        </is>
      </c>
      <c r="C4" s="10" t="inlineStr">
        <is>
          <t>Severity</t>
        </is>
      </c>
      <c r="D4" s="10" t="inlineStr">
        <is>
          <t>Finding / Observation</t>
        </is>
      </c>
      <c r="E4" s="10" t="inlineStr">
        <is>
          <t>Recommended Adjustment</t>
        </is>
      </c>
      <c r="F4" s="10" t="inlineStr">
        <is>
          <t>Owner</t>
        </is>
      </c>
      <c r="G4" s="10" t="inlineStr">
        <is>
          <t>Target Date</t>
        </is>
      </c>
      <c r="H4" s="10" t="inlineStr">
        <is>
          <t>Status</t>
        </is>
      </c>
      <c r="I4" s="10" t="inlineStr">
        <is>
          <t>Date Resolved</t>
        </is>
      </c>
    </row>
    <row r="5" ht="30" customHeight="1">
      <c r="A5" s="30" t="inlineStr">
        <is>
          <t>F-01</t>
        </is>
      </c>
      <c r="B5" s="31" t="inlineStr">
        <is>
          <t>Security</t>
        </is>
      </c>
      <c r="C5" s="31" t="inlineStr">
        <is>
          <t>High</t>
        </is>
      </c>
      <c r="D5" s="31" t="inlineStr">
        <is>
          <t>No automated tests cover the auth + token_version revocation path.</t>
        </is>
      </c>
      <c r="E5" s="31" t="inlineStr">
        <is>
          <t>Add integration tests for login, expiry, and password-change invalidation.</t>
        </is>
      </c>
      <c r="F5" s="31" t="inlineStr">
        <is>
          <t>Eng — Backend</t>
        </is>
      </c>
      <c r="G5" s="31" t="inlineStr">
        <is>
          <t>2026-08-15</t>
        </is>
      </c>
      <c r="H5" s="31" t="inlineStr">
        <is>
          <t>Open</t>
        </is>
      </c>
      <c r="I5" s="31" t="inlineStr"/>
    </row>
    <row r="6" ht="26" customHeight="1">
      <c r="A6" s="12" t="inlineStr">
        <is>
          <t>F-02</t>
        </is>
      </c>
      <c r="B6" s="18" t="n"/>
      <c r="C6" s="18" t="n"/>
      <c r="D6" s="18" t="n"/>
      <c r="E6" s="18" t="n"/>
      <c r="F6" s="18" t="n"/>
      <c r="G6" s="18" t="n"/>
      <c r="H6" s="18" t="n"/>
      <c r="I6" s="18" t="n"/>
    </row>
    <row r="7" ht="26" customHeight="1">
      <c r="A7" s="12" t="inlineStr">
        <is>
          <t>F-03</t>
        </is>
      </c>
      <c r="B7" s="18" t="n"/>
      <c r="C7" s="18" t="n"/>
      <c r="D7" s="18" t="n"/>
      <c r="E7" s="18" t="n"/>
      <c r="F7" s="18" t="n"/>
      <c r="G7" s="18" t="n"/>
      <c r="H7" s="18" t="n"/>
      <c r="I7" s="18" t="n"/>
    </row>
    <row r="8" ht="26" customHeight="1">
      <c r="A8" s="12" t="inlineStr">
        <is>
          <t>F-04</t>
        </is>
      </c>
      <c r="B8" s="18" t="n"/>
      <c r="C8" s="18" t="n"/>
      <c r="D8" s="18" t="n"/>
      <c r="E8" s="18" t="n"/>
      <c r="F8" s="18" t="n"/>
      <c r="G8" s="18" t="n"/>
      <c r="H8" s="18" t="n"/>
      <c r="I8" s="18" t="n"/>
    </row>
    <row r="9" ht="26" customHeight="1">
      <c r="A9" s="12" t="inlineStr">
        <is>
          <t>F-05</t>
        </is>
      </c>
      <c r="B9" s="18" t="n"/>
      <c r="C9" s="18" t="n"/>
      <c r="D9" s="18" t="n"/>
      <c r="E9" s="18" t="n"/>
      <c r="F9" s="18" t="n"/>
      <c r="G9" s="18" t="n"/>
      <c r="H9" s="18" t="n"/>
      <c r="I9" s="18" t="n"/>
    </row>
    <row r="10" ht="26" customHeight="1">
      <c r="A10" s="12" t="inlineStr">
        <is>
          <t>F-06</t>
        </is>
      </c>
      <c r="B10" s="18" t="n"/>
      <c r="C10" s="18" t="n"/>
      <c r="D10" s="18" t="n"/>
      <c r="E10" s="18" t="n"/>
      <c r="F10" s="18" t="n"/>
      <c r="G10" s="18" t="n"/>
      <c r="H10" s="18" t="n"/>
      <c r="I10" s="18" t="n"/>
    </row>
    <row r="11" ht="26" customHeight="1">
      <c r="A11" s="12" t="inlineStr">
        <is>
          <t>F-07</t>
        </is>
      </c>
      <c r="B11" s="18" t="n"/>
      <c r="C11" s="18" t="n"/>
      <c r="D11" s="18" t="n"/>
      <c r="E11" s="18" t="n"/>
      <c r="F11" s="18" t="n"/>
      <c r="G11" s="18" t="n"/>
      <c r="H11" s="18" t="n"/>
      <c r="I11" s="18" t="n"/>
    </row>
    <row r="12" ht="26" customHeight="1">
      <c r="A12" s="12" t="inlineStr">
        <is>
          <t>F-08</t>
        </is>
      </c>
      <c r="B12" s="18" t="n"/>
      <c r="C12" s="18" t="n"/>
      <c r="D12" s="18" t="n"/>
      <c r="E12" s="18" t="n"/>
      <c r="F12" s="18" t="n"/>
      <c r="G12" s="18" t="n"/>
      <c r="H12" s="18" t="n"/>
      <c r="I12" s="18" t="n"/>
    </row>
    <row r="13" ht="26" customHeight="1">
      <c r="A13" s="12" t="inlineStr">
        <is>
          <t>F-09</t>
        </is>
      </c>
      <c r="B13" s="18" t="n"/>
      <c r="C13" s="18" t="n"/>
      <c r="D13" s="18" t="n"/>
      <c r="E13" s="18" t="n"/>
      <c r="F13" s="18" t="n"/>
      <c r="G13" s="18" t="n"/>
      <c r="H13" s="18" t="n"/>
      <c r="I13" s="18" t="n"/>
    </row>
    <row r="14" ht="26" customHeight="1">
      <c r="A14" s="12" t="inlineStr">
        <is>
          <t>F-10</t>
        </is>
      </c>
      <c r="B14" s="18" t="n"/>
      <c r="C14" s="18" t="n"/>
      <c r="D14" s="18" t="n"/>
      <c r="E14" s="18" t="n"/>
      <c r="F14" s="18" t="n"/>
      <c r="G14" s="18" t="n"/>
      <c r="H14" s="18" t="n"/>
      <c r="I14" s="18" t="n"/>
    </row>
    <row r="15" ht="26" customHeight="1">
      <c r="A15" s="12" t="inlineStr">
        <is>
          <t>F-11</t>
        </is>
      </c>
      <c r="B15" s="18" t="n"/>
      <c r="C15" s="18" t="n"/>
      <c r="D15" s="18" t="n"/>
      <c r="E15" s="18" t="n"/>
      <c r="F15" s="18" t="n"/>
      <c r="G15" s="18" t="n"/>
      <c r="H15" s="18" t="n"/>
      <c r="I15" s="18" t="n"/>
    </row>
    <row r="16" ht="26" customHeight="1">
      <c r="A16" s="12" t="inlineStr">
        <is>
          <t>F-12</t>
        </is>
      </c>
      <c r="B16" s="18" t="n"/>
      <c r="C16" s="18" t="n"/>
      <c r="D16" s="18" t="n"/>
      <c r="E16" s="18" t="n"/>
      <c r="F16" s="18" t="n"/>
      <c r="G16" s="18" t="n"/>
      <c r="H16" s="18" t="n"/>
      <c r="I16" s="18" t="n"/>
    </row>
    <row r="17" ht="26" customHeight="1">
      <c r="A17" s="12" t="inlineStr">
        <is>
          <t>F-13</t>
        </is>
      </c>
      <c r="B17" s="18" t="n"/>
      <c r="C17" s="18" t="n"/>
      <c r="D17" s="18" t="n"/>
      <c r="E17" s="18" t="n"/>
      <c r="F17" s="18" t="n"/>
      <c r="G17" s="18" t="n"/>
      <c r="H17" s="18" t="n"/>
      <c r="I17" s="18" t="n"/>
    </row>
    <row r="18" ht="26" customHeight="1">
      <c r="A18" s="12" t="inlineStr">
        <is>
          <t>F-14</t>
        </is>
      </c>
      <c r="B18" s="18" t="n"/>
      <c r="C18" s="18" t="n"/>
      <c r="D18" s="18" t="n"/>
      <c r="E18" s="18" t="n"/>
      <c r="F18" s="18" t="n"/>
      <c r="G18" s="18" t="n"/>
      <c r="H18" s="18" t="n"/>
      <c r="I18" s="18" t="n"/>
    </row>
    <row r="19" ht="26" customHeight="1">
      <c r="A19" s="12" t="inlineStr">
        <is>
          <t>F-15</t>
        </is>
      </c>
      <c r="B19" s="18" t="n"/>
      <c r="C19" s="18" t="n"/>
      <c r="D19" s="18" t="n"/>
      <c r="E19" s="18" t="n"/>
      <c r="F19" s="18" t="n"/>
      <c r="G19" s="18" t="n"/>
      <c r="H19" s="18" t="n"/>
      <c r="I19" s="18" t="n"/>
    </row>
    <row r="20" ht="26" customHeight="1">
      <c r="A20" s="12" t="inlineStr">
        <is>
          <t>F-16</t>
        </is>
      </c>
      <c r="B20" s="18" t="n"/>
      <c r="C20" s="18" t="n"/>
      <c r="D20" s="18" t="n"/>
      <c r="E20" s="18" t="n"/>
      <c r="F20" s="18" t="n"/>
      <c r="G20" s="18" t="n"/>
      <c r="H20" s="18" t="n"/>
      <c r="I20" s="18" t="n"/>
    </row>
    <row r="21" ht="26" customHeight="1">
      <c r="A21" s="12" t="inlineStr">
        <is>
          <t>F-17</t>
        </is>
      </c>
      <c r="B21" s="18" t="n"/>
      <c r="C21" s="18" t="n"/>
      <c r="D21" s="18" t="n"/>
      <c r="E21" s="18" t="n"/>
      <c r="F21" s="18" t="n"/>
      <c r="G21" s="18" t="n"/>
      <c r="H21" s="18" t="n"/>
      <c r="I21" s="18" t="n"/>
    </row>
    <row r="22" ht="26" customHeight="1">
      <c r="A22" s="12" t="inlineStr">
        <is>
          <t>F-18</t>
        </is>
      </c>
      <c r="B22" s="18" t="n"/>
      <c r="C22" s="18" t="n"/>
      <c r="D22" s="18" t="n"/>
      <c r="E22" s="18" t="n"/>
      <c r="F22" s="18" t="n"/>
      <c r="G22" s="18" t="n"/>
      <c r="H22" s="18" t="n"/>
      <c r="I22" s="18" t="n"/>
    </row>
    <row r="23" ht="26" customHeight="1">
      <c r="A23" s="12" t="inlineStr">
        <is>
          <t>F-19</t>
        </is>
      </c>
      <c r="B23" s="18" t="n"/>
      <c r="C23" s="18" t="n"/>
      <c r="D23" s="18" t="n"/>
      <c r="E23" s="18" t="n"/>
      <c r="F23" s="18" t="n"/>
      <c r="G23" s="18" t="n"/>
      <c r="H23" s="18" t="n"/>
      <c r="I23" s="18" t="n"/>
    </row>
    <row r="24" ht="26" customHeight="1">
      <c r="A24" s="12" t="inlineStr">
        <is>
          <t>F-20</t>
        </is>
      </c>
      <c r="B24" s="18" t="n"/>
      <c r="C24" s="18" t="n"/>
      <c r="D24" s="18" t="n"/>
      <c r="E24" s="18" t="n"/>
      <c r="F24" s="18" t="n"/>
      <c r="G24" s="18" t="n"/>
      <c r="H24" s="18" t="n"/>
      <c r="I24" s="18" t="n"/>
    </row>
    <row r="25" ht="26" customHeight="1">
      <c r="A25" s="12" t="inlineStr">
        <is>
          <t>F-21</t>
        </is>
      </c>
      <c r="B25" s="18" t="n"/>
      <c r="C25" s="18" t="n"/>
      <c r="D25" s="18" t="n"/>
      <c r="E25" s="18" t="n"/>
      <c r="F25" s="18" t="n"/>
      <c r="G25" s="18" t="n"/>
      <c r="H25" s="18" t="n"/>
      <c r="I25" s="18" t="n"/>
    </row>
    <row r="26" ht="26" customHeight="1">
      <c r="A26" s="12" t="inlineStr">
        <is>
          <t>F-22</t>
        </is>
      </c>
      <c r="B26" s="18" t="n"/>
      <c r="C26" s="18" t="n"/>
      <c r="D26" s="18" t="n"/>
      <c r="E26" s="18" t="n"/>
      <c r="F26" s="18" t="n"/>
      <c r="G26" s="18" t="n"/>
      <c r="H26" s="18" t="n"/>
      <c r="I26" s="18" t="n"/>
    </row>
    <row r="27" ht="26" customHeight="1">
      <c r="A27" s="12" t="inlineStr">
        <is>
          <t>F-23</t>
        </is>
      </c>
      <c r="B27" s="18" t="n"/>
      <c r="C27" s="18" t="n"/>
      <c r="D27" s="18" t="n"/>
      <c r="E27" s="18" t="n"/>
      <c r="F27" s="18" t="n"/>
      <c r="G27" s="18" t="n"/>
      <c r="H27" s="18" t="n"/>
      <c r="I27" s="18" t="n"/>
    </row>
    <row r="28" ht="26" customHeight="1">
      <c r="A28" s="12" t="inlineStr">
        <is>
          <t>F-24</t>
        </is>
      </c>
      <c r="B28" s="18" t="n"/>
      <c r="C28" s="18" t="n"/>
      <c r="D28" s="18" t="n"/>
      <c r="E28" s="18" t="n"/>
      <c r="F28" s="18" t="n"/>
      <c r="G28" s="18" t="n"/>
      <c r="H28" s="18" t="n"/>
      <c r="I28" s="18" t="n"/>
    </row>
    <row r="29" ht="26" customHeight="1">
      <c r="A29" s="12" t="inlineStr">
        <is>
          <t>F-25</t>
        </is>
      </c>
      <c r="B29" s="18" t="n"/>
      <c r="C29" s="18" t="n"/>
      <c r="D29" s="18" t="n"/>
      <c r="E29" s="18" t="n"/>
      <c r="F29" s="18" t="n"/>
      <c r="G29" s="18" t="n"/>
      <c r="H29" s="18" t="n"/>
      <c r="I29" s="18" t="n"/>
    </row>
    <row r="30" ht="26" customHeight="1">
      <c r="A30" s="12" t="inlineStr">
        <is>
          <t>F-26</t>
        </is>
      </c>
      <c r="B30" s="18" t="n"/>
      <c r="C30" s="18" t="n"/>
      <c r="D30" s="18" t="n"/>
      <c r="E30" s="18" t="n"/>
      <c r="F30" s="18" t="n"/>
      <c r="G30" s="18" t="n"/>
      <c r="H30" s="18" t="n"/>
      <c r="I30" s="18" t="n"/>
    </row>
    <row r="31" ht="26" customHeight="1">
      <c r="A31" s="12" t="inlineStr">
        <is>
          <t>F-27</t>
        </is>
      </c>
      <c r="B31" s="18" t="n"/>
      <c r="C31" s="18" t="n"/>
      <c r="D31" s="18" t="n"/>
      <c r="E31" s="18" t="n"/>
      <c r="F31" s="18" t="n"/>
      <c r="G31" s="18" t="n"/>
      <c r="H31" s="18" t="n"/>
      <c r="I31" s="18" t="n"/>
    </row>
    <row r="32" ht="26" customHeight="1">
      <c r="A32" s="12" t="inlineStr">
        <is>
          <t>F-28</t>
        </is>
      </c>
      <c r="B32" s="18" t="n"/>
      <c r="C32" s="18" t="n"/>
      <c r="D32" s="18" t="n"/>
      <c r="E32" s="18" t="n"/>
      <c r="F32" s="18" t="n"/>
      <c r="G32" s="18" t="n"/>
      <c r="H32" s="18" t="n"/>
      <c r="I32" s="18" t="n"/>
    </row>
    <row r="33" ht="26" customHeight="1">
      <c r="A33" s="12" t="inlineStr">
        <is>
          <t>F-29</t>
        </is>
      </c>
      <c r="B33" s="18" t="n"/>
      <c r="C33" s="18" t="n"/>
      <c r="D33" s="18" t="n"/>
      <c r="E33" s="18" t="n"/>
      <c r="F33" s="18" t="n"/>
      <c r="G33" s="18" t="n"/>
      <c r="H33" s="18" t="n"/>
      <c r="I33" s="18" t="n"/>
    </row>
    <row r="34" ht="26" customHeight="1">
      <c r="A34" s="12" t="inlineStr">
        <is>
          <t>F-30</t>
        </is>
      </c>
      <c r="B34" s="18" t="n"/>
      <c r="C34" s="18" t="n"/>
      <c r="D34" s="18" t="n"/>
      <c r="E34" s="18" t="n"/>
      <c r="F34" s="18" t="n"/>
      <c r="G34" s="18" t="n"/>
      <c r="H34" s="18" t="n"/>
      <c r="I34" s="18" t="n"/>
    </row>
    <row r="35" ht="26" customHeight="1">
      <c r="A35" s="12" t="inlineStr">
        <is>
          <t>F-31</t>
        </is>
      </c>
      <c r="B35" s="18" t="n"/>
      <c r="C35" s="18" t="n"/>
      <c r="D35" s="18" t="n"/>
      <c r="E35" s="18" t="n"/>
      <c r="F35" s="18" t="n"/>
      <c r="G35" s="18" t="n"/>
      <c r="H35" s="18" t="n"/>
      <c r="I35" s="18" t="n"/>
    </row>
    <row r="36" ht="26" customHeight="1">
      <c r="A36" s="12" t="inlineStr">
        <is>
          <t>F-32</t>
        </is>
      </c>
      <c r="B36" s="18" t="n"/>
      <c r="C36" s="18" t="n"/>
      <c r="D36" s="18" t="n"/>
      <c r="E36" s="18" t="n"/>
      <c r="F36" s="18" t="n"/>
      <c r="G36" s="18" t="n"/>
      <c r="H36" s="18" t="n"/>
      <c r="I36" s="18" t="n"/>
    </row>
    <row r="37" ht="26" customHeight="1">
      <c r="A37" s="12" t="inlineStr">
        <is>
          <t>F-33</t>
        </is>
      </c>
      <c r="B37" s="18" t="n"/>
      <c r="C37" s="18" t="n"/>
      <c r="D37" s="18" t="n"/>
      <c r="E37" s="18" t="n"/>
      <c r="F37" s="18" t="n"/>
      <c r="G37" s="18" t="n"/>
      <c r="H37" s="18" t="n"/>
      <c r="I37" s="18" t="n"/>
    </row>
    <row r="38" ht="26" customHeight="1">
      <c r="A38" s="12" t="inlineStr">
        <is>
          <t>F-34</t>
        </is>
      </c>
      <c r="B38" s="18" t="n"/>
      <c r="C38" s="18" t="n"/>
      <c r="D38" s="18" t="n"/>
      <c r="E38" s="18" t="n"/>
      <c r="F38" s="18" t="n"/>
      <c r="G38" s="18" t="n"/>
      <c r="H38" s="18" t="n"/>
      <c r="I38" s="18" t="n"/>
    </row>
    <row r="39" ht="26" customHeight="1">
      <c r="A39" s="12" t="inlineStr">
        <is>
          <t>F-35</t>
        </is>
      </c>
      <c r="B39" s="18" t="n"/>
      <c r="C39" s="18" t="n"/>
      <c r="D39" s="18" t="n"/>
      <c r="E39" s="18" t="n"/>
      <c r="F39" s="18" t="n"/>
      <c r="G39" s="18" t="n"/>
      <c r="H39" s="18" t="n"/>
      <c r="I39" s="18" t="n"/>
    </row>
    <row r="40" ht="26" customHeight="1">
      <c r="A40" s="12" t="inlineStr">
        <is>
          <t>F-36</t>
        </is>
      </c>
      <c r="B40" s="18" t="n"/>
      <c r="C40" s="18" t="n"/>
      <c r="D40" s="18" t="n"/>
      <c r="E40" s="18" t="n"/>
      <c r="F40" s="18" t="n"/>
      <c r="G40" s="18" t="n"/>
      <c r="H40" s="18" t="n"/>
      <c r="I40" s="18" t="n"/>
    </row>
  </sheetData>
  <mergeCells count="3">
    <mergeCell ref="A1:I1"/>
    <mergeCell ref="A5"/>
    <mergeCell ref="A2:I2"/>
  </mergeCells>
  <dataValidations count="3">
    <dataValidation sqref="C6 C7 C8 C9 C10 C11 C12 C13 C14 C15 C16 C17 C18 C19 C20 C21 C22 C23 C24 C25 C26 C27 C28 C29 C30 C31 C32 C33 C34 C35 C36 C37 C38 C39 C40" showDropDown="0" showInputMessage="0" showErrorMessage="0" allowBlank="1" type="list">
      <formula1>"Critical,High,Medium,Low"</formula1>
    </dataValidation>
    <dataValidation sqref="H6 H7 H8 H9 H10 H11 H12 H13 H14 H15 H16 H17 H18 H19 H20 H21 H22 H23 H24 H25 H26 H27 H28 H29 H30 H31 H32 H33 H34 H35 H36 H37 H38 H39 H40" showDropDown="0" showInputMessage="0" showErrorMessage="0" allowBlank="1" type="list">
      <formula1>"Open,In Progress,Resolved,Deferred,Won't Fix"</formula1>
    </dataValidation>
    <dataValidation sqref="B6 B7 B8 B9 B10 B11 B12 B13 B14 B15 B16 B17 B18 B19 B20 B21 B22 B23 B24 B25 B26 B27 B28 B29 B30 B31 B32 B33 B34 B35 B36 B37 B38 B39 B40" showDropDown="0" showInputMessage="0" showErrorMessage="0" allowBlank="1" type="list">
      <formula1>"Architecture,Security,Data Model,API/Backend,Frontend/UX,Features,Code Quality,Operations"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24" customWidth="1" min="1" max="1"/>
    <col width="22" customWidth="1" min="2" max="2"/>
    <col width="30" customWidth="1" min="3" max="3"/>
    <col width="30" customWidth="1" min="4" max="4"/>
    <col width="40" customWidth="1" min="5" max="5"/>
    <col width="14" customWidth="1" min="6" max="6"/>
  </cols>
  <sheetData>
    <row r="1" ht="26" customHeight="1">
      <c r="A1" s="8" t="inlineStr">
        <is>
          <t>Reviewer Sign-off</t>
        </is>
      </c>
    </row>
    <row r="2">
      <c r="A2" s="9" t="inlineStr">
        <is>
          <t>Each reviewer records their recommendation once their assigned areas are complete.</t>
        </is>
      </c>
    </row>
    <row r="4" ht="20" customHeight="1">
      <c r="A4" s="10" t="inlineStr">
        <is>
          <t>Reviewer Name</t>
        </is>
      </c>
      <c r="B4" s="10" t="inlineStr">
        <is>
          <t>Role</t>
        </is>
      </c>
      <c r="C4" s="10" t="inlineStr">
        <is>
          <t>Areas Reviewed</t>
        </is>
      </c>
      <c r="D4" s="10" t="inlineStr">
        <is>
          <t>Recommendation</t>
        </is>
      </c>
      <c r="E4" s="10" t="inlineStr">
        <is>
          <t>Comments</t>
        </is>
      </c>
      <c r="F4" s="10" t="inlineStr">
        <is>
          <t>Date</t>
        </is>
      </c>
    </row>
    <row r="5" ht="30" customHeight="1">
      <c r="A5" s="32" t="n"/>
      <c r="B5" s="32" t="n"/>
      <c r="C5" s="32" t="n"/>
      <c r="D5" s="32" t="n"/>
      <c r="E5" s="32" t="n"/>
      <c r="F5" s="32" t="n"/>
    </row>
    <row r="6" ht="30" customHeight="1">
      <c r="A6" s="32" t="n"/>
      <c r="B6" s="32" t="n"/>
      <c r="C6" s="32" t="n"/>
      <c r="D6" s="32" t="n"/>
      <c r="E6" s="32" t="n"/>
      <c r="F6" s="32" t="n"/>
    </row>
    <row r="7" ht="30" customHeight="1">
      <c r="A7" s="32" t="n"/>
      <c r="B7" s="32" t="n"/>
      <c r="C7" s="32" t="n"/>
      <c r="D7" s="32" t="n"/>
      <c r="E7" s="32" t="n"/>
      <c r="F7" s="32" t="n"/>
    </row>
    <row r="8" ht="30" customHeight="1">
      <c r="A8" s="32" t="n"/>
      <c r="B8" s="32" t="n"/>
      <c r="C8" s="32" t="n"/>
      <c r="D8" s="32" t="n"/>
      <c r="E8" s="32" t="n"/>
      <c r="F8" s="32" t="n"/>
    </row>
    <row r="9" ht="30" customHeight="1">
      <c r="A9" s="32" t="n"/>
      <c r="B9" s="32" t="n"/>
      <c r="C9" s="32" t="n"/>
      <c r="D9" s="32" t="n"/>
      <c r="E9" s="32" t="n"/>
      <c r="F9" s="32" t="n"/>
    </row>
    <row r="10" ht="30" customHeight="1">
      <c r="A10" s="32" t="n"/>
      <c r="B10" s="32" t="n"/>
      <c r="C10" s="32" t="n"/>
      <c r="D10" s="32" t="n"/>
      <c r="E10" s="32" t="n"/>
      <c r="F10" s="32" t="n"/>
    </row>
    <row r="11" ht="30" customHeight="1">
      <c r="A11" s="32" t="n"/>
      <c r="B11" s="32" t="n"/>
      <c r="C11" s="32" t="n"/>
      <c r="D11" s="32" t="n"/>
      <c r="E11" s="32" t="n"/>
      <c r="F11" s="32" t="n"/>
    </row>
    <row r="12" ht="30" customHeight="1">
      <c r="A12" s="32" t="n"/>
      <c r="B12" s="32" t="n"/>
      <c r="C12" s="32" t="n"/>
      <c r="D12" s="32" t="n"/>
      <c r="E12" s="32" t="n"/>
      <c r="F12" s="32" t="n"/>
    </row>
    <row r="15" ht="26" customHeight="1">
      <c r="A15" s="33" t="inlineStr">
        <is>
          <t>FINAL DECISION</t>
        </is>
      </c>
      <c r="B15" s="23" t="n"/>
      <c r="C15" s="6" t="n"/>
      <c r="D15" s="23" t="n"/>
      <c r="E15" s="23" t="n"/>
      <c r="F15" s="23" t="n"/>
    </row>
  </sheetData>
  <mergeCells count="4">
    <mergeCell ref="C15:F15"/>
    <mergeCell ref="A2:F2"/>
    <mergeCell ref="A1:F1"/>
    <mergeCell ref="A15:B15"/>
  </mergeCells>
  <dataValidations count="1">
    <dataValidation sqref="C15 D5 D6 D7 D8 D9 D10 D11 D12" showDropDown="0" showInputMessage="0" showErrorMessage="0" allowBlank="1" type="list">
      <formula1>"Approve,Approve with conditions,Rework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2026-07-22T08:43:30Z</dcterms:created>
  <dcterms:modified xmlns:dcterms="http://purl.org/dc/terms/" xmlns:xsi="http://www.w3.org/2001/XMLSchema-instance" xsi:type="dcterms:W3CDTF">2026-07-22T08:43:31Z</dcterms:modified>
</cp:coreProperties>
</file>